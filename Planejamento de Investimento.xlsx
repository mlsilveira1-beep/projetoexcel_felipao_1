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7660e48dd7f89f2/Área de Trabalho/AULAS FELIPÃO/"/>
    </mc:Choice>
  </mc:AlternateContent>
  <xr:revisionPtr revIDLastSave="215" documentId="11_AD4D361C20488DEA4E38A018B45940C25ADEDD8D" xr6:coauthVersionLast="47" xr6:coauthVersionMax="47" xr10:uidLastSave="{5437F077-BAE0-42CA-A988-1F003DC87FCB}"/>
  <bookViews>
    <workbookView xWindow="-110" yWindow="-110" windowWidth="19420" windowHeight="10300" xr2:uid="{00000000-000D-0000-FFFF-FFFF00000000}"/>
  </bookViews>
  <sheets>
    <sheet name="Principal" sheetId="1" r:id="rId1"/>
    <sheet name="Apoio" sheetId="2" r:id="rId2"/>
  </sheets>
  <definedNames>
    <definedName name="aporte">Principal!$D$10</definedName>
    <definedName name="rendimento_mensal">Principal!$D$9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 s="1"/>
  <c r="D22" i="1"/>
  <c r="E22" i="1" s="1"/>
  <c r="D20" i="1"/>
  <c r="E20" i="1" s="1"/>
  <c r="D16" i="2"/>
  <c r="D17" i="2"/>
  <c r="D15" i="2"/>
  <c r="D13" i="2"/>
  <c r="D14" i="2"/>
  <c r="D12" i="2"/>
  <c r="D10" i="2"/>
  <c r="D11" i="2"/>
  <c r="D9" i="2"/>
  <c r="C16" i="2"/>
  <c r="C17" i="2"/>
  <c r="C15" i="2"/>
  <c r="C13" i="2"/>
  <c r="C14" i="2"/>
  <c r="C12" i="2"/>
  <c r="C10" i="2"/>
  <c r="C11" i="2"/>
  <c r="C9" i="2"/>
  <c r="D13" i="1"/>
  <c r="D14" i="1"/>
  <c r="D15" i="1"/>
  <c r="D12" i="1"/>
  <c r="C15" i="1"/>
  <c r="C14" i="1"/>
  <c r="C13" i="1"/>
  <c r="C12" i="1"/>
  <c r="F7" i="2"/>
  <c r="E7" i="2"/>
  <c r="D7" i="2"/>
  <c r="D6" i="1"/>
  <c r="E23" i="1" l="1"/>
  <c r="E13" i="1"/>
  <c r="E12" i="1"/>
  <c r="E14" i="1"/>
  <c r="E15" i="1"/>
</calcChain>
</file>

<file path=xl/sharedStrings.xml><?xml version="1.0" encoding="utf-8"?>
<sst xmlns="http://schemas.openxmlformats.org/spreadsheetml/2006/main" count="25" uniqueCount="21">
  <si>
    <t>Salário</t>
  </si>
  <si>
    <t>Parte a ser invstida</t>
  </si>
  <si>
    <t>Perfil:</t>
  </si>
  <si>
    <t>conservador</t>
  </si>
  <si>
    <t>moderado</t>
  </si>
  <si>
    <t>agressivo</t>
  </si>
  <si>
    <t>CDBs</t>
  </si>
  <si>
    <t>FUNDOS</t>
  </si>
  <si>
    <t>AÇÕES</t>
  </si>
  <si>
    <t>TOTAL</t>
  </si>
  <si>
    <t>Sugestão de valor a ser investido</t>
  </si>
  <si>
    <t>Rendimento mensal</t>
  </si>
  <si>
    <t>Patrimonio Final</t>
  </si>
  <si>
    <t>Dividendo</t>
  </si>
  <si>
    <t>DEFINIÇÃO DO INVESTIMENTO MENSAL</t>
  </si>
  <si>
    <t>ALOCAÇÃO DO INVESTIMENTO MENSAL</t>
  </si>
  <si>
    <t>CÁLCULO DO PATRIMONIO E DIVIDENDO</t>
  </si>
  <si>
    <t>Valor do investimento mensal:</t>
  </si>
  <si>
    <t>TOTAL ALOCADO</t>
  </si>
  <si>
    <t>alocação %</t>
  </si>
  <si>
    <t>alocação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</si>
</sst>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4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2" fillId="2" borderId="0" xfId="2"/>
    <xf numFmtId="0" fontId="2" fillId="2" borderId="0" xfId="2" applyAlignment="1">
      <alignment horizontal="center" vertical="center"/>
    </xf>
    <xf numFmtId="0" fontId="0" fillId="3" borderId="0" xfId="0" applyFill="1"/>
    <xf numFmtId="164" fontId="0" fillId="3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0" fontId="0" fillId="4" borderId="3" xfId="0" applyFill="1" applyBorder="1" applyAlignment="1">
      <alignment horizontal="centerContinuous"/>
    </xf>
    <xf numFmtId="0" fontId="0" fillId="0" borderId="4" xfId="0" applyBorder="1"/>
    <xf numFmtId="10" fontId="0" fillId="0" borderId="0" xfId="1" applyNumberFormat="1" applyFont="1" applyBorder="1"/>
    <xf numFmtId="0" fontId="0" fillId="0" borderId="5" xfId="0" applyBorder="1"/>
    <xf numFmtId="10" fontId="0" fillId="0" borderId="0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8" fontId="0" fillId="0" borderId="0" xfId="0" applyNumberFormat="1"/>
    <xf numFmtId="8" fontId="0" fillId="0" borderId="5" xfId="0" applyNumberFormat="1" applyBorder="1"/>
    <xf numFmtId="0" fontId="0" fillId="0" borderId="6" xfId="0" applyBorder="1" applyAlignment="1">
      <alignment horizontal="center"/>
    </xf>
    <xf numFmtId="8" fontId="0" fillId="0" borderId="7" xfId="0" applyNumberFormat="1" applyBorder="1"/>
    <xf numFmtId="8" fontId="0" fillId="0" borderId="8" xfId="0" applyNumberFormat="1" applyBorder="1"/>
    <xf numFmtId="164" fontId="0" fillId="0" borderId="0" xfId="0" applyNumberFormat="1"/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horizontal="left" indent="1"/>
    </xf>
    <xf numFmtId="0" fontId="0" fillId="3" borderId="6" xfId="0" applyFill="1" applyBorder="1" applyAlignment="1">
      <alignment horizontal="left" indent="1"/>
    </xf>
    <xf numFmtId="8" fontId="0" fillId="3" borderId="8" xfId="0" applyNumberFormat="1" applyFill="1" applyBorder="1"/>
    <xf numFmtId="0" fontId="0" fillId="0" borderId="0" xfId="0" applyAlignment="1">
      <alignment horizontal="center"/>
    </xf>
    <xf numFmtId="0" fontId="0" fillId="3" borderId="7" xfId="1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0" fillId="0" borderId="10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5" borderId="0" xfId="0" applyFill="1" applyAlignment="1">
      <alignment horizontal="center"/>
    </xf>
  </cellXfs>
  <cellStyles count="3">
    <cellStyle name="Ênfase5" xfId="2" builtinId="45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791557305336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Principal!$D$17:$D$19</c:f>
              <c:strCache>
                <c:ptCount val="3"/>
                <c:pt idx="0">
                  <c:v>ALOCAÇÃO DO INVESTIMENTO MENSAL</c:v>
                </c:pt>
                <c:pt idx="1">
                  <c:v>moderado</c:v>
                </c:pt>
                <c:pt idx="2">
                  <c:v>alocação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Principal!$C$20:$C$23</c:f>
              <c:strCache>
                <c:ptCount val="4"/>
                <c:pt idx="0">
                  <c:v>CDBs</c:v>
                </c:pt>
                <c:pt idx="1">
                  <c:v>FUNDOS</c:v>
                </c:pt>
                <c:pt idx="2">
                  <c:v>AÇÕES</c:v>
                </c:pt>
                <c:pt idx="3">
                  <c:v>TOTAL ALOCADO</c:v>
                </c:pt>
              </c:strCache>
            </c:strRef>
          </c:cat>
          <c:val>
            <c:numRef>
              <c:f>Principal!$D$20:$D$23</c:f>
              <c:numCache>
                <c:formatCode>0%</c:formatCode>
                <c:ptCount val="4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2-48B1-BBE5-17AC8A96C3A4}"/>
            </c:ext>
          </c:extLst>
        </c:ser>
        <c:ser>
          <c:idx val="1"/>
          <c:order val="1"/>
          <c:tx>
            <c:strRef>
              <c:f>Principal!$E$17:$E$19</c:f>
              <c:strCache>
                <c:ptCount val="3"/>
                <c:pt idx="0">
                  <c:v>ALOCAÇÃO DO INVESTIMENTO MENSAL</c:v>
                </c:pt>
                <c:pt idx="1">
                  <c:v>moderado</c:v>
                </c:pt>
                <c:pt idx="2">
                  <c:v>alocação R$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Principal!$C$20:$C$23</c:f>
              <c:strCache>
                <c:ptCount val="4"/>
                <c:pt idx="0">
                  <c:v>CDBs</c:v>
                </c:pt>
                <c:pt idx="1">
                  <c:v>FUNDOS</c:v>
                </c:pt>
                <c:pt idx="2">
                  <c:v>AÇÕES</c:v>
                </c:pt>
                <c:pt idx="3">
                  <c:v>TOTAL ALOCADO</c:v>
                </c:pt>
              </c:strCache>
            </c:strRef>
          </c:cat>
          <c:val>
            <c:numRef>
              <c:f>Principal!$E$20:$E$23</c:f>
              <c:numCache>
                <c:formatCode>"R$"#,##0.00_);[Red]\("R$"#,##0.00\)</c:formatCode>
                <c:ptCount val="4"/>
                <c:pt idx="0">
                  <c:v>100</c:v>
                </c:pt>
                <c:pt idx="1">
                  <c:v>60</c:v>
                </c:pt>
                <c:pt idx="2">
                  <c:v>40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E2-48B1-BBE5-17AC8A96C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23</xdr:row>
      <xdr:rowOff>101600</xdr:rowOff>
    </xdr:from>
    <xdr:to>
      <xdr:col>5</xdr:col>
      <xdr:colOff>6349</xdr:colOff>
      <xdr:row>38</xdr:row>
      <xdr:rowOff>82550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AE7853-3B49-7804-601C-244041C03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tabSelected="1" workbookViewId="0">
      <selection activeCell="I27" sqref="I27"/>
    </sheetView>
  </sheetViews>
  <sheetFormatPr defaultRowHeight="14.5" x14ac:dyDescent="0.35"/>
  <cols>
    <col min="3" max="3" width="29.36328125" customWidth="1"/>
    <col min="4" max="5" width="19.90625" customWidth="1"/>
  </cols>
  <sheetData>
    <row r="2" spans="2:5" ht="15" thickBot="1" x14ac:dyDescent="0.4"/>
    <row r="3" spans="2:5" x14ac:dyDescent="0.35">
      <c r="C3" s="6" t="s">
        <v>14</v>
      </c>
      <c r="D3" s="7"/>
      <c r="E3" s="8"/>
    </row>
    <row r="4" spans="2:5" x14ac:dyDescent="0.35">
      <c r="C4" s="9" t="s">
        <v>0</v>
      </c>
      <c r="D4" s="15">
        <v>2000</v>
      </c>
      <c r="E4" s="11"/>
    </row>
    <row r="5" spans="2:5" x14ac:dyDescent="0.35">
      <c r="C5" s="9" t="s">
        <v>1</v>
      </c>
      <c r="D5" s="20">
        <v>0.3</v>
      </c>
      <c r="E5" s="11"/>
    </row>
    <row r="6" spans="2:5" ht="15" thickBot="1" x14ac:dyDescent="0.4">
      <c r="C6" s="21" t="s">
        <v>10</v>
      </c>
      <c r="D6" s="18">
        <f>D4*D5</f>
        <v>600</v>
      </c>
      <c r="E6" s="22"/>
    </row>
    <row r="7" spans="2:5" ht="15" thickBot="1" x14ac:dyDescent="0.4"/>
    <row r="8" spans="2:5" x14ac:dyDescent="0.35">
      <c r="C8" s="6" t="s">
        <v>16</v>
      </c>
      <c r="D8" s="7"/>
      <c r="E8" s="8"/>
    </row>
    <row r="9" spans="2:5" x14ac:dyDescent="0.35">
      <c r="C9" s="9" t="s">
        <v>11</v>
      </c>
      <c r="D9" s="10">
        <v>1.0789999999999999E-2</v>
      </c>
      <c r="E9" s="11"/>
    </row>
    <row r="10" spans="2:5" x14ac:dyDescent="0.35">
      <c r="C10" s="9" t="s">
        <v>17</v>
      </c>
      <c r="D10" s="15">
        <v>200</v>
      </c>
      <c r="E10" s="11"/>
    </row>
    <row r="11" spans="2:5" x14ac:dyDescent="0.35">
      <c r="C11" s="9"/>
      <c r="D11" s="12" t="s">
        <v>12</v>
      </c>
      <c r="E11" s="13" t="s">
        <v>13</v>
      </c>
    </row>
    <row r="12" spans="2:5" x14ac:dyDescent="0.35">
      <c r="B12">
        <v>2</v>
      </c>
      <c r="C12" s="14" t="str">
        <f>CONCATENATE("Após ",B12," anos")</f>
        <v>Após 2 anos</v>
      </c>
      <c r="D12" s="15">
        <f>FV(D$9,B12*12,-D$10)</f>
        <v>5445.5254595290435</v>
      </c>
      <c r="E12" s="16">
        <f>D12*0.5%</f>
        <v>27.227627297645217</v>
      </c>
    </row>
    <row r="13" spans="2:5" x14ac:dyDescent="0.35">
      <c r="B13">
        <v>5</v>
      </c>
      <c r="C13" s="14" t="str">
        <f t="shared" ref="C13:C15" si="0">CONCATENATE("Após ",B13," anos")</f>
        <v>Após 5 anos</v>
      </c>
      <c r="D13" s="15">
        <f t="shared" ref="D13:D15" si="1">FV(D$9,B13*12,-D$10)</f>
        <v>16755.382799697527</v>
      </c>
      <c r="E13" s="16">
        <f t="shared" ref="E13:E15" si="2">D13*0.5%</f>
        <v>83.776913998487643</v>
      </c>
    </row>
    <row r="14" spans="2:5" x14ac:dyDescent="0.35">
      <c r="B14">
        <v>10</v>
      </c>
      <c r="C14" s="14" t="str">
        <f t="shared" si="0"/>
        <v>Após 10 anos</v>
      </c>
      <c r="D14" s="15">
        <f t="shared" si="1"/>
        <v>48656.842506034438</v>
      </c>
      <c r="E14" s="16">
        <f t="shared" si="2"/>
        <v>243.2842125301722</v>
      </c>
    </row>
    <row r="15" spans="2:5" ht="15" thickBot="1" x14ac:dyDescent="0.4">
      <c r="B15">
        <v>30</v>
      </c>
      <c r="C15" s="17" t="str">
        <f t="shared" si="0"/>
        <v>Após 30 anos</v>
      </c>
      <c r="D15" s="18">
        <f t="shared" si="1"/>
        <v>864433.93100094295</v>
      </c>
      <c r="E15" s="19">
        <f t="shared" si="2"/>
        <v>4322.1696550047145</v>
      </c>
    </row>
    <row r="16" spans="2:5" ht="15" thickBot="1" x14ac:dyDescent="0.4"/>
    <row r="17" spans="3:5" x14ac:dyDescent="0.35">
      <c r="C17" s="6" t="s">
        <v>15</v>
      </c>
      <c r="D17" s="7"/>
      <c r="E17" s="8"/>
    </row>
    <row r="18" spans="3:5" x14ac:dyDescent="0.35">
      <c r="C18" s="9" t="s">
        <v>2</v>
      </c>
      <c r="D18" s="33" t="s">
        <v>4</v>
      </c>
      <c r="E18" s="11"/>
    </row>
    <row r="19" spans="3:5" x14ac:dyDescent="0.35">
      <c r="C19" s="9"/>
      <c r="D19" s="26" t="s">
        <v>19</v>
      </c>
      <c r="E19" s="13" t="s">
        <v>20</v>
      </c>
    </row>
    <row r="20" spans="3:5" x14ac:dyDescent="0.35">
      <c r="C20" s="23" t="s">
        <v>6</v>
      </c>
      <c r="D20" s="32">
        <f>VLOOKUP((D$18&amp;"-"&amp;C20),Apoio!C9:D17,2,FALSE)</f>
        <v>0.5</v>
      </c>
      <c r="E20" s="16">
        <f>D20*D$10</f>
        <v>100</v>
      </c>
    </row>
    <row r="21" spans="3:5" x14ac:dyDescent="0.35">
      <c r="C21" s="23" t="s">
        <v>7</v>
      </c>
      <c r="D21" s="32">
        <f>VLOOKUP((D$18&amp;"-"&amp;C21),Apoio!C10:D18,2,FALSE)</f>
        <v>0.3</v>
      </c>
      <c r="E21" s="16">
        <f t="shared" ref="E21:E22" si="3">D21*D$10</f>
        <v>60</v>
      </c>
    </row>
    <row r="22" spans="3:5" x14ac:dyDescent="0.35">
      <c r="C22" s="23" t="s">
        <v>8</v>
      </c>
      <c r="D22" s="32">
        <f>VLOOKUP((D$18&amp;"-"&amp;C22),Apoio!C11:D19,2,FALSE)</f>
        <v>0.2</v>
      </c>
      <c r="E22" s="16">
        <f t="shared" si="3"/>
        <v>40</v>
      </c>
    </row>
    <row r="23" spans="3:5" ht="15" thickBot="1" x14ac:dyDescent="0.4">
      <c r="C23" s="24" t="s">
        <v>18</v>
      </c>
      <c r="D23" s="27"/>
      <c r="E23" s="25">
        <f>SUM(E20:E22)</f>
        <v>200</v>
      </c>
    </row>
  </sheetData>
  <dataValidations count="1">
    <dataValidation type="list" allowBlank="1" showInputMessage="1" showErrorMessage="1" sqref="D18" xr:uid="{84C34AB3-2D9D-4764-9170-17353E06DAC3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D61E-FFA4-492A-A52C-D7A72F7ACD43}">
  <dimension ref="C3:F17"/>
  <sheetViews>
    <sheetView workbookViewId="0">
      <selection activeCell="D17" sqref="D9:D17"/>
    </sheetView>
  </sheetViews>
  <sheetFormatPr defaultRowHeight="14.5" x14ac:dyDescent="0.35"/>
  <cols>
    <col min="3" max="3" width="20.36328125" customWidth="1"/>
    <col min="4" max="6" width="14.08984375" customWidth="1"/>
  </cols>
  <sheetData>
    <row r="3" spans="3:6" x14ac:dyDescent="0.35">
      <c r="C3" s="2"/>
      <c r="D3" s="3" t="s">
        <v>3</v>
      </c>
      <c r="E3" s="3" t="s">
        <v>4</v>
      </c>
      <c r="F3" s="3" t="s">
        <v>5</v>
      </c>
    </row>
    <row r="4" spans="3:6" x14ac:dyDescent="0.35">
      <c r="C4" t="s">
        <v>6</v>
      </c>
      <c r="D4" s="1">
        <v>0.8</v>
      </c>
      <c r="E4" s="1">
        <v>0.5</v>
      </c>
      <c r="F4" s="1">
        <v>0</v>
      </c>
    </row>
    <row r="5" spans="3:6" x14ac:dyDescent="0.35">
      <c r="C5" t="s">
        <v>7</v>
      </c>
      <c r="D5" s="1">
        <v>0.2</v>
      </c>
      <c r="E5" s="1">
        <v>0.3</v>
      </c>
      <c r="F5" s="1">
        <v>0.3</v>
      </c>
    </row>
    <row r="6" spans="3:6" x14ac:dyDescent="0.35">
      <c r="C6" t="s">
        <v>8</v>
      </c>
      <c r="D6" s="1">
        <v>0</v>
      </c>
      <c r="E6" s="1">
        <v>0.2</v>
      </c>
      <c r="F6" s="1">
        <v>0.7</v>
      </c>
    </row>
    <row r="7" spans="3:6" x14ac:dyDescent="0.35">
      <c r="C7" s="4" t="s">
        <v>9</v>
      </c>
      <c r="D7" s="5">
        <f>SUM(D4:D6)</f>
        <v>1</v>
      </c>
      <c r="E7" s="5">
        <f t="shared" ref="E7:F7" si="0">SUM(E4:E6)</f>
        <v>1</v>
      </c>
      <c r="F7" s="5">
        <f t="shared" si="0"/>
        <v>1</v>
      </c>
    </row>
    <row r="9" spans="3:6" x14ac:dyDescent="0.35">
      <c r="C9" s="29" t="str">
        <f>D$3&amp;"-"&amp;C4</f>
        <v>conservador-CDBs</v>
      </c>
      <c r="D9" s="30">
        <f>D4</f>
        <v>0.8</v>
      </c>
    </row>
    <row r="10" spans="3:6" x14ac:dyDescent="0.35">
      <c r="C10" t="str">
        <f t="shared" ref="C10:C11" si="1">D$3&amp;"-"&amp;C5</f>
        <v>conservador-FUNDOS</v>
      </c>
      <c r="D10" s="1">
        <f t="shared" ref="D10:D11" si="2">D5</f>
        <v>0.2</v>
      </c>
    </row>
    <row r="11" spans="3:6" x14ac:dyDescent="0.35">
      <c r="C11" s="28" t="str">
        <f t="shared" si="1"/>
        <v>conservador-AÇÕES</v>
      </c>
      <c r="D11" s="31">
        <f t="shared" si="2"/>
        <v>0</v>
      </c>
    </row>
    <row r="12" spans="3:6" x14ac:dyDescent="0.35">
      <c r="C12" t="str">
        <f>E$3&amp;"-"&amp;C4</f>
        <v>moderado-CDBs</v>
      </c>
      <c r="D12" s="1">
        <f>E4</f>
        <v>0.5</v>
      </c>
    </row>
    <row r="13" spans="3:6" x14ac:dyDescent="0.35">
      <c r="C13" t="str">
        <f t="shared" ref="C13:C14" si="3">E$3&amp;"-"&amp;C5</f>
        <v>moderado-FUNDOS</v>
      </c>
      <c r="D13" s="1">
        <f t="shared" ref="D13:D14" si="4">E5</f>
        <v>0.3</v>
      </c>
    </row>
    <row r="14" spans="3:6" x14ac:dyDescent="0.35">
      <c r="C14" s="28" t="str">
        <f t="shared" si="3"/>
        <v>moderado-AÇÕES</v>
      </c>
      <c r="D14" s="31">
        <f t="shared" si="4"/>
        <v>0.2</v>
      </c>
    </row>
    <row r="15" spans="3:6" x14ac:dyDescent="0.35">
      <c r="C15" t="str">
        <f>F$3&amp;"-"&amp;C4</f>
        <v>agressivo-CDBs</v>
      </c>
      <c r="D15" s="1">
        <f>F4</f>
        <v>0</v>
      </c>
    </row>
    <row r="16" spans="3:6" x14ac:dyDescent="0.35">
      <c r="C16" t="str">
        <f t="shared" ref="C16:C17" si="5">F$3&amp;"-"&amp;C5</f>
        <v>agressivo-FUNDOS</v>
      </c>
      <c r="D16" s="1">
        <f t="shared" ref="D16:D17" si="6">F5</f>
        <v>0.3</v>
      </c>
    </row>
    <row r="17" spans="3:4" x14ac:dyDescent="0.35">
      <c r="C17" s="28" t="str">
        <f t="shared" si="5"/>
        <v>agressivo-AÇÕES</v>
      </c>
      <c r="D17" s="31">
        <f t="shared" si="6"/>
        <v>0.7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Principal</vt:lpstr>
      <vt:lpstr>Apoio</vt:lpstr>
      <vt:lpstr>aporte</vt:lpstr>
      <vt:lpstr>rendimento_mensal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Silveira</dc:creator>
  <cp:lastModifiedBy>Marcio Silveira</cp:lastModifiedBy>
  <dcterms:created xsi:type="dcterms:W3CDTF">2015-06-05T18:19:34Z</dcterms:created>
  <dcterms:modified xsi:type="dcterms:W3CDTF">2026-10-12T21:28:56Z</dcterms:modified>
</cp:coreProperties>
</file>